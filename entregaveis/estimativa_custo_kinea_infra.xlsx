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remissas" sheetId="2" state="visible" r:id="rId4"/>
    <sheet name="Detalhamen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<sst xmlns="http://schemas.openxmlformats.org/spreadsheetml/2006/main" count="86" uniqueCount="80">
  <si>
    <t xml:space="preserve">Resumo — Estimativa de Custo Mensal (Kinea Infra)</t>
  </si>
  <si>
    <t xml:space="preserve">Estimativa preliminar, baseada em premissas editáveis (ver aba Premissas). Atualizar assim que houver dado real de consumo do Databricks e da Azure OpenAI.</t>
  </si>
  <si>
    <t xml:space="preserve">Categoria</t>
  </si>
  <si>
    <t xml:space="preserve">Custo Mensal (USD)</t>
  </si>
  <si>
    <t xml:space="preserve">Custo Anual (USD)</t>
  </si>
  <si>
    <t xml:space="preserve">Databricks Compute</t>
  </si>
  <si>
    <t xml:space="preserve">Azure OpenAI (NLP formal)</t>
  </si>
  <si>
    <t xml:space="preserve">Armazenamento</t>
  </si>
  <si>
    <t xml:space="preserve">Outros (Key Vault, egress)</t>
  </si>
  <si>
    <t xml:space="preserve">TOTAL GERAL</t>
  </si>
  <si>
    <t xml:space="preserve">⚠ Fora desta estimativa</t>
  </si>
  <si>
    <t xml:space="preserve">O serviço externo report_agent (ui-agents.azurewebsites.net), que gera o briefing diário e o resumo semanal, tem custo desconhecido — não temos visibilidade de token/modelo usado por ele. Confirmar com o administrador desse serviço antes de considerar esta estimativa completa.</t>
  </si>
  <si>
    <t xml:space="preserve">Premissas — Estimativa de Custo do Projeto (Kinea Infra)</t>
  </si>
  <si>
    <t xml:space="preserve">Todas as células amarelas são estimativas editáveis — atualize com dado de uso real assim que disponível (ex.: consumo real do Databricks, contagem real de tokens da Azure OpenAI).</t>
  </si>
  <si>
    <t xml:space="preserve">Premissa</t>
  </si>
  <si>
    <t xml:space="preserve">Valor</t>
  </si>
  <si>
    <t xml:space="preserve">Unidade</t>
  </si>
  <si>
    <t xml:space="preserve">Observação / Fonte</t>
  </si>
  <si>
    <t xml:space="preserve">Databricks — Compute (cluster "desafio")</t>
  </si>
  <si>
    <t xml:space="preserve">Horas de execução do cluster por dia útil</t>
  </si>
  <si>
    <t xml:space="preserve">horas/dia</t>
  </si>
  <si>
    <t xml:space="preserve">Estimativa — soma de todos os dispatchers + Processa Daily, rodando sequencial/paralelo</t>
  </si>
  <si>
    <t xml:space="preserve">DBUs consumidos por hora (tamanho do cluster)</t>
  </si>
  <si>
    <t xml:space="preserve">DBU/hora</t>
  </si>
  <si>
    <t xml:space="preserve">Estimativa — cluster de porte médio (ex.: Standard_DS3_v2, poucos workers)</t>
  </si>
  <si>
    <t xml:space="preserve">Preço por DBU (Jobs Compute, tier Standard)</t>
  </si>
  <si>
    <t xml:space="preserve">USD/DBU</t>
  </si>
  <si>
    <t xml:space="preserve">Preço público de lista Azure Databricks (Jobs Compute) — confirmar tier/desconto contratado da Kinea</t>
  </si>
  <si>
    <t xml:space="preserve">Dias úteis de operação por mês</t>
  </si>
  <si>
    <t xml:space="preserve">dias/mês</t>
  </si>
  <si>
    <t xml:space="preserve">Padrão (dispatchers rodam diário, incl. fins de semana em alguns casos — ajustar se necessário)</t>
  </si>
  <si>
    <t xml:space="preserve">Azure OpenAI — Pipeline de NLP formal (amostra JSON)</t>
  </si>
  <si>
    <t xml:space="preserve">Notícias processadas por execução da amostra</t>
  </si>
  <si>
    <t xml:space="preserve">notícias</t>
  </si>
  <si>
    <t xml:space="preserve">Igual ao TAMANHO_AMOSTRA em montar_amostra_json_formal.py</t>
  </si>
  <si>
    <t xml:space="preserve">Execuções da amostra por mês</t>
  </si>
  <si>
    <t xml:space="preserve">execuções/mês</t>
  </si>
  <si>
    <t xml:space="preserve">Estimativa — depende da cadência que o time decidir rodar (ex.: semanal)</t>
  </si>
  <si>
    <t xml:space="preserve">Chamadas de LLM por notícia (sentimento + tags + extração de riscos)</t>
  </si>
  <si>
    <t xml:space="preserve">chamadas/notícia</t>
  </si>
  <si>
    <t xml:space="preserve">3 chamadas em chamar_llm() por notícia: avaliar_sentimento_credor, classificar_tags, extrair_riscos_credito</t>
  </si>
  <si>
    <t xml:space="preserve">Tokens de entrada por chamada (média)</t>
  </si>
  <si>
    <t xml:space="preserve">tokens</t>
  </si>
  <si>
    <t xml:space="preserve">Estimativa — prompt de sistema + até 4000 caracteres de artigo truncado (~1000 tokens)</t>
  </si>
  <si>
    <t xml:space="preserve">Tokens de saída por chamada (média)</t>
  </si>
  <si>
    <t xml:space="preserve">Estimativa — resposta é JSON curto (classificação, não texto longo)</t>
  </si>
  <si>
    <t xml:space="preserve">Preço tokens de entrada (GPT-3.5-turbo-16k, Azure)</t>
  </si>
  <si>
    <t xml:space="preserve">USD/1K tokens</t>
  </si>
  <si>
    <t xml:space="preserve">Preço público de lista Azure OpenAI — confirmar modelo/deployment real usado (LLM_ENGINE em chamar_llm.py)</t>
  </si>
  <si>
    <t xml:space="preserve">Preço tokens de saída (GPT-3.5-turbo-16k, Azure)</t>
  </si>
  <si>
    <t xml:space="preserve">Preço público de lista Azure OpenAI</t>
  </si>
  <si>
    <t xml:space="preserve">Armazenamento (Unity Catalog Volume / Blob Storage)</t>
  </si>
  <si>
    <t xml:space="preserve">Volume de dados brutos ingeridos por dia (texto + metadado)</t>
  </si>
  <si>
    <t xml:space="preserve">MB/dia</t>
  </si>
  <si>
    <t xml:space="preserve">Estimativa — baseado no volume observado de documentos/dia nos logs de execução</t>
  </si>
  <si>
    <t xml:space="preserve">Preço de armazenamento (Hot tier)</t>
  </si>
  <si>
    <t xml:space="preserve">USD/GB/mês</t>
  </si>
  <si>
    <t xml:space="preserve">Preço público de lista Azure Blob Storage, Hot tier, LRS</t>
  </si>
  <si>
    <t xml:space="preserve">Serviço externo de orquestração (report_agent)</t>
  </si>
  <si>
    <t xml:space="preserve">Custo do briefing diário + resumo semanal (via ui-agents.azurewebsites.net): DESCONHECIDO. Esse serviço é administrado fora do nosso escopo direto — provavelmente já roda dentro de uma conta Azure OpenAI da própria Kinea (a mesma usada em outros projetos do workspace, ver pasta "templates"), e não temos visibilidade de token/custo por chamada nem confirmação de qual modelo ele usa internamente. Recomenda-se confirmar com quem administra esse serviço antes de finalizar a estimativa total do projeto.</t>
  </si>
  <si>
    <t xml:space="preserve">Detalhamento de Custo Mensal por Categoria</t>
  </si>
  <si>
    <t xml:space="preserve">Item</t>
  </si>
  <si>
    <t xml:space="preserve">Cálculo</t>
  </si>
  <si>
    <t xml:space="preserve">Cluster "desafio" (Jobs Compute)</t>
  </si>
  <si>
    <t xml:space="preserve">Horas/dia × DBU/hora × Preço/DBU × Dias úteis/mês</t>
  </si>
  <si>
    <t xml:space="preserve">Subtotal — Databricks Compute</t>
  </si>
  <si>
    <t xml:space="preserve">Azure OpenAI — Pipeline de NLP formal</t>
  </si>
  <si>
    <t xml:space="preserve">Tokens de entrada</t>
  </si>
  <si>
    <t xml:space="preserve">Notícias × Exec./mês × Chamadas × Tokens ent. ÷1000 × Preço</t>
  </si>
  <si>
    <t xml:space="preserve">Tokens de saída</t>
  </si>
  <si>
    <t xml:space="preserve">Notícias × Exec./mês × Chamadas × Tokens saída ÷1000 × Preço</t>
  </si>
  <si>
    <t xml:space="preserve">Subtotal — Azure OpenAI (NLP formal)</t>
  </si>
  <si>
    <t xml:space="preserve">Unity Catalog Volume / Blob Storage</t>
  </si>
  <si>
    <t xml:space="preserve">MB/dia × 30 ÷ 1024 × Preço/GB/mês</t>
  </si>
  <si>
    <t xml:space="preserve">Subtotal — Armazenamento</t>
  </si>
  <si>
    <t xml:space="preserve">Outros (Key Vault, Egress) — imateriais</t>
  </si>
  <si>
    <t xml:space="preserve">Azure Key Vault (operações de secret) + egress de rede</t>
  </si>
  <si>
    <t xml:space="preserve">Estimativa fixa — volume de operações é baixo neste projeto</t>
  </si>
  <si>
    <t xml:space="preserve">TOTAL GERAL (excl. report_agent — custo desconhecido)</t>
  </si>
  <si>
    <t xml:space="preserve">Nota: o total acima NÃO inclui o custo do serviço externo report_agent (briefing diário + resumo semanal), cujo consumo de tokens não é visível para este projeto — ver aba Premissas.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</si>
</sst>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2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i val="true"/>
      <sz val="9.5"/>
      <color rgb="FF333333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.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628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5E20"/>
        <bgColor rgb="FF008000"/>
      </patternFill>
    </fill>
    <fill>
      <patternFill patternType="solid">
        <fgColor rgb="FFE8F5E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6E4F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ouble">
        <color rgb="FF1B5E2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B5E2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Detalhamento!C6</f>
        <v>37.8</v>
      </c>
      <c r="C5" s="6" t="n">
        <f aca="false">Detalhamento!D6</f>
        <v>453.6</v>
      </c>
    </row>
    <row r="6" customFormat="false" ht="15" hidden="false" customHeight="false" outlineLevel="0" collapsed="false">
      <c r="A6" s="5" t="s">
        <v>6</v>
      </c>
      <c r="B6" s="6" t="n">
        <f aca="false">Detalhamento!C11</f>
        <v>6.912</v>
      </c>
      <c r="C6" s="6" t="n">
        <f aca="false">Detalhamento!D11</f>
        <v>82.944</v>
      </c>
    </row>
    <row r="7" customFormat="false" ht="15" hidden="false" customHeight="false" outlineLevel="0" collapsed="false">
      <c r="A7" s="5" t="s">
        <v>7</v>
      </c>
      <c r="B7" s="6" t="n">
        <f aca="false">Detalhamento!C15</f>
        <v>0.0016171875</v>
      </c>
      <c r="C7" s="6" t="n">
        <f aca="false">Detalhamento!D15</f>
        <v>0.01940625</v>
      </c>
    </row>
    <row r="8" customFormat="false" ht="15" hidden="false" customHeight="false" outlineLevel="0" collapsed="false">
      <c r="A8" s="5" t="s">
        <v>8</v>
      </c>
      <c r="B8" s="6" t="n">
        <f aca="false">Detalhamento!C18</f>
        <v>1</v>
      </c>
      <c r="C8" s="6" t="n">
        <f aca="false">Detalhamento!D18</f>
        <v>12</v>
      </c>
    </row>
    <row r="10" customFormat="false" ht="15" hidden="false" customHeight="false" outlineLevel="0" collapsed="false">
      <c r="A10" s="7" t="s">
        <v>9</v>
      </c>
      <c r="B10" s="8" t="n">
        <f aca="false">SUM(B5:B8)</f>
        <v>45.7136171875</v>
      </c>
      <c r="C10" s="8" t="n">
        <f aca="false">SUM(C5:C8)</f>
        <v>548.56340625</v>
      </c>
    </row>
    <row r="13" customFormat="false" ht="15" hidden="false" customHeight="false" outlineLevel="0" collapsed="false">
      <c r="A13" s="9" t="s">
        <v>10</v>
      </c>
    </row>
    <row r="14" customFormat="false" ht="54.75" hidden="false" customHeight="true" outlineLevel="0" collapsed="false">
      <c r="A14" s="10" t="s">
        <v>11</v>
      </c>
      <c r="B14" s="10"/>
      <c r="C14" s="10"/>
    </row>
  </sheetData>
  <mergeCells count="3">
    <mergeCell ref="A1:C1"/>
    <mergeCell ref="A2:C2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</row>
    <row r="2" customFormat="false" ht="27.75" hidden="false" customHeight="true" outlineLevel="0" collapsed="false">
      <c r="A2" s="11" t="s">
        <v>13</v>
      </c>
      <c r="B2" s="11"/>
      <c r="C2" s="11"/>
      <c r="D2" s="11"/>
    </row>
    <row r="4" customFormat="false" ht="15" hidden="false" customHeight="false" outlineLevel="0" collapsed="false">
      <c r="A4" s="3" t="s">
        <v>14</v>
      </c>
      <c r="B4" s="4" t="s">
        <v>15</v>
      </c>
      <c r="C4" s="4" t="s">
        <v>16</v>
      </c>
      <c r="D4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</row>
    <row r="6" customFormat="false" ht="42" hidden="false" customHeight="true" outlineLevel="0" collapsed="false">
      <c r="A6" s="13" t="s">
        <v>19</v>
      </c>
      <c r="B6" s="14" t="n">
        <v>3</v>
      </c>
      <c r="C6" s="15" t="s">
        <v>20</v>
      </c>
      <c r="D6" s="16" t="s">
        <v>21</v>
      </c>
    </row>
    <row r="7" customFormat="false" ht="42" hidden="false" customHeight="true" outlineLevel="0" collapsed="false">
      <c r="A7" s="13" t="s">
        <v>22</v>
      </c>
      <c r="B7" s="14" t="n">
        <v>4</v>
      </c>
      <c r="C7" s="15" t="s">
        <v>23</v>
      </c>
      <c r="D7" s="16" t="s">
        <v>24</v>
      </c>
    </row>
    <row r="8" customFormat="false" ht="42" hidden="false" customHeight="true" outlineLevel="0" collapsed="false">
      <c r="A8" s="13" t="s">
        <v>25</v>
      </c>
      <c r="B8" s="14" t="n">
        <v>0.15</v>
      </c>
      <c r="C8" s="15" t="s">
        <v>26</v>
      </c>
      <c r="D8" s="16" t="s">
        <v>27</v>
      </c>
    </row>
    <row r="9" customFormat="false" ht="42" hidden="false" customHeight="true" outlineLevel="0" collapsed="false">
      <c r="A9" s="13" t="s">
        <v>28</v>
      </c>
      <c r="B9" s="14" t="n">
        <v>21</v>
      </c>
      <c r="C9" s="15" t="s">
        <v>29</v>
      </c>
      <c r="D9" s="16" t="s">
        <v>30</v>
      </c>
    </row>
    <row r="11" customFormat="false" ht="15" hidden="false" customHeight="false" outlineLevel="0" collapsed="false">
      <c r="A11" s="12" t="s">
        <v>31</v>
      </c>
      <c r="B11" s="12"/>
      <c r="C11" s="12"/>
      <c r="D11" s="12"/>
    </row>
    <row r="12" customFormat="false" ht="42" hidden="false" customHeight="true" outlineLevel="0" collapsed="false">
      <c r="A12" s="13" t="s">
        <v>32</v>
      </c>
      <c r="B12" s="14" t="n">
        <v>120</v>
      </c>
      <c r="C12" s="15" t="s">
        <v>33</v>
      </c>
      <c r="D12" s="16" t="s">
        <v>34</v>
      </c>
    </row>
    <row r="13" customFormat="false" ht="42" hidden="false" customHeight="true" outlineLevel="0" collapsed="false">
      <c r="A13" s="13" t="s">
        <v>35</v>
      </c>
      <c r="B13" s="14" t="n">
        <v>4</v>
      </c>
      <c r="C13" s="15" t="s">
        <v>36</v>
      </c>
      <c r="D13" s="16" t="s">
        <v>37</v>
      </c>
    </row>
    <row r="14" customFormat="false" ht="42" hidden="false" customHeight="true" outlineLevel="0" collapsed="false">
      <c r="A14" s="13" t="s">
        <v>38</v>
      </c>
      <c r="B14" s="14" t="n">
        <v>3</v>
      </c>
      <c r="C14" s="15" t="s">
        <v>39</v>
      </c>
      <c r="D14" s="16" t="s">
        <v>40</v>
      </c>
    </row>
    <row r="15" customFormat="false" ht="42" hidden="false" customHeight="true" outlineLevel="0" collapsed="false">
      <c r="A15" s="13" t="s">
        <v>41</v>
      </c>
      <c r="B15" s="14" t="n">
        <v>1400</v>
      </c>
      <c r="C15" s="15" t="s">
        <v>42</v>
      </c>
      <c r="D15" s="16" t="s">
        <v>43</v>
      </c>
    </row>
    <row r="16" customFormat="false" ht="42" hidden="false" customHeight="true" outlineLevel="0" collapsed="false">
      <c r="A16" s="13" t="s">
        <v>44</v>
      </c>
      <c r="B16" s="14" t="n">
        <v>150</v>
      </c>
      <c r="C16" s="15" t="s">
        <v>42</v>
      </c>
      <c r="D16" s="16" t="s">
        <v>45</v>
      </c>
    </row>
    <row r="17" customFormat="false" ht="42" hidden="false" customHeight="true" outlineLevel="0" collapsed="false">
      <c r="A17" s="13" t="s">
        <v>46</v>
      </c>
      <c r="B17" s="14" t="n">
        <v>0.003</v>
      </c>
      <c r="C17" s="15" t="s">
        <v>47</v>
      </c>
      <c r="D17" s="16" t="s">
        <v>48</v>
      </c>
    </row>
    <row r="18" customFormat="false" ht="42" hidden="false" customHeight="true" outlineLevel="0" collapsed="false">
      <c r="A18" s="13" t="s">
        <v>49</v>
      </c>
      <c r="B18" s="14" t="n">
        <v>0.004</v>
      </c>
      <c r="C18" s="15" t="s">
        <v>47</v>
      </c>
      <c r="D18" s="16" t="s">
        <v>50</v>
      </c>
    </row>
    <row r="20" customFormat="false" ht="15" hidden="false" customHeight="false" outlineLevel="0" collapsed="false">
      <c r="A20" s="12" t="s">
        <v>51</v>
      </c>
      <c r="B20" s="12"/>
      <c r="C20" s="12"/>
      <c r="D20" s="12"/>
    </row>
    <row r="21" customFormat="false" ht="42" hidden="false" customHeight="true" outlineLevel="0" collapsed="false">
      <c r="A21" s="13" t="s">
        <v>52</v>
      </c>
      <c r="B21" s="14" t="n">
        <v>3</v>
      </c>
      <c r="C21" s="15" t="s">
        <v>53</v>
      </c>
      <c r="D21" s="16" t="s">
        <v>54</v>
      </c>
    </row>
    <row r="22" customFormat="false" ht="42" hidden="false" customHeight="true" outlineLevel="0" collapsed="false">
      <c r="A22" s="13" t="s">
        <v>55</v>
      </c>
      <c r="B22" s="14" t="n">
        <v>0.0184</v>
      </c>
      <c r="C22" s="15" t="s">
        <v>56</v>
      </c>
      <c r="D22" s="16" t="s">
        <v>57</v>
      </c>
    </row>
    <row r="24" customFormat="false" ht="15" hidden="false" customHeight="false" outlineLevel="0" collapsed="false">
      <c r="A24" s="12" t="s">
        <v>58</v>
      </c>
      <c r="B24" s="12"/>
      <c r="C24" s="12"/>
      <c r="D24" s="12"/>
    </row>
    <row r="25" customFormat="false" ht="60" hidden="false" customHeight="true" outlineLevel="0" collapsed="false">
      <c r="A25" s="17" t="s">
        <v>59</v>
      </c>
      <c r="B25" s="17"/>
      <c r="C25" s="17"/>
      <c r="D25" s="17"/>
    </row>
  </sheetData>
  <mergeCells count="7">
    <mergeCell ref="A1:D1"/>
    <mergeCell ref="A2:D2"/>
    <mergeCell ref="A5:D5"/>
    <mergeCell ref="A11:D11"/>
    <mergeCell ref="A20:D20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0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1" t="s">
        <v>60</v>
      </c>
      <c r="B1" s="1"/>
      <c r="C1" s="1"/>
      <c r="D1" s="1"/>
    </row>
    <row r="3" customFormat="false" ht="15" hidden="false" customHeight="false" outlineLevel="0" collapsed="false">
      <c r="A3" s="3" t="s">
        <v>61</v>
      </c>
      <c r="B3" s="4" t="s">
        <v>62</v>
      </c>
      <c r="C3" s="4" t="s">
        <v>3</v>
      </c>
      <c r="D3" s="4" t="s">
        <v>4</v>
      </c>
    </row>
    <row r="4" customFormat="false" ht="15" hidden="false" customHeight="false" outlineLevel="0" collapsed="false">
      <c r="A4" s="12" t="s">
        <v>5</v>
      </c>
      <c r="B4" s="12"/>
      <c r="C4" s="12"/>
      <c r="D4" s="12"/>
    </row>
    <row r="5" customFormat="false" ht="15" hidden="false" customHeight="false" outlineLevel="0" collapsed="false">
      <c r="A5" s="0" t="s">
        <v>63</v>
      </c>
      <c r="B5" s="18" t="s">
        <v>64</v>
      </c>
      <c r="C5" s="6" t="n">
        <f aca="false">Premissas!B6*Premissas!B7*Premissas!B8*Premissas!B9</f>
        <v>37.8</v>
      </c>
      <c r="D5" s="19" t="n">
        <f aca="false">C5*12</f>
        <v>453.6</v>
      </c>
    </row>
    <row r="6" customFormat="false" ht="15" hidden="false" customHeight="false" outlineLevel="0" collapsed="false">
      <c r="A6" s="20" t="s">
        <v>65</v>
      </c>
      <c r="B6" s="21"/>
      <c r="C6" s="22" t="n">
        <f aca="false">SUM(C5:C5)</f>
        <v>37.8</v>
      </c>
      <c r="D6" s="22" t="n">
        <f aca="false">SUM(D5:D5)</f>
        <v>453.6</v>
      </c>
    </row>
    <row r="8" customFormat="false" ht="15" hidden="false" customHeight="false" outlineLevel="0" collapsed="false">
      <c r="A8" s="12" t="s">
        <v>66</v>
      </c>
      <c r="B8" s="12"/>
      <c r="C8" s="12"/>
      <c r="D8" s="12"/>
    </row>
    <row r="9" customFormat="false" ht="15" hidden="false" customHeight="false" outlineLevel="0" collapsed="false">
      <c r="A9" s="0" t="s">
        <v>67</v>
      </c>
      <c r="B9" s="18" t="s">
        <v>68</v>
      </c>
      <c r="C9" s="6" t="n">
        <f aca="false">Premissas!B12*Premissas!B13*Premissas!B14*Premissas!B15/1000*Premissas!B17</f>
        <v>6.048</v>
      </c>
      <c r="D9" s="23" t="n">
        <f aca="false">C9*12</f>
        <v>72.576</v>
      </c>
    </row>
    <row r="10" customFormat="false" ht="15" hidden="false" customHeight="false" outlineLevel="0" collapsed="false">
      <c r="A10" s="0" t="s">
        <v>69</v>
      </c>
      <c r="B10" s="18" t="s">
        <v>70</v>
      </c>
      <c r="C10" s="6" t="n">
        <f aca="false">Premissas!B12*Premissas!B13*Premissas!B14*Premissas!B16/1000*Premissas!B18</f>
        <v>0.864</v>
      </c>
      <c r="D10" s="23" t="n">
        <f aca="false">C10*12</f>
        <v>10.368</v>
      </c>
    </row>
    <row r="11" customFormat="false" ht="15" hidden="false" customHeight="false" outlineLevel="0" collapsed="false">
      <c r="A11" s="20" t="s">
        <v>71</v>
      </c>
      <c r="B11" s="21"/>
      <c r="C11" s="22" t="n">
        <f aca="false">SUM(C9:C10)</f>
        <v>6.912</v>
      </c>
      <c r="D11" s="22" t="n">
        <f aca="false">SUM(D9:D10)</f>
        <v>82.944</v>
      </c>
    </row>
    <row r="13" customFormat="false" ht="15" hidden="false" customHeight="false" outlineLevel="0" collapsed="false">
      <c r="A13" s="12" t="s">
        <v>7</v>
      </c>
      <c r="B13" s="12"/>
      <c r="C13" s="12"/>
      <c r="D13" s="12"/>
    </row>
    <row r="14" customFormat="false" ht="15" hidden="false" customHeight="false" outlineLevel="0" collapsed="false">
      <c r="A14" s="0" t="s">
        <v>72</v>
      </c>
      <c r="B14" s="18" t="s">
        <v>73</v>
      </c>
      <c r="C14" s="6" t="n">
        <f aca="false">Premissas!B21*30/1024*Premissas!B22</f>
        <v>0.0016171875</v>
      </c>
      <c r="D14" s="23" t="n">
        <f aca="false">C14*12</f>
        <v>0.01940625</v>
      </c>
    </row>
    <row r="15" customFormat="false" ht="15" hidden="false" customHeight="false" outlineLevel="0" collapsed="false">
      <c r="A15" s="20" t="s">
        <v>74</v>
      </c>
      <c r="B15" s="21"/>
      <c r="C15" s="22" t="n">
        <f aca="false">SUM(C14:C14)</f>
        <v>0.0016171875</v>
      </c>
      <c r="D15" s="22" t="n">
        <f aca="false">SUM(D14:D14)</f>
        <v>0.01940625</v>
      </c>
    </row>
    <row r="17" customFormat="false" ht="15" hidden="false" customHeight="false" outlineLevel="0" collapsed="false">
      <c r="A17" s="12" t="s">
        <v>75</v>
      </c>
      <c r="B17" s="12"/>
      <c r="C17" s="12"/>
      <c r="D17" s="12"/>
    </row>
    <row r="18" customFormat="false" ht="15" hidden="false" customHeight="false" outlineLevel="0" collapsed="false">
      <c r="A18" s="0" t="s">
        <v>76</v>
      </c>
      <c r="B18" s="18" t="s">
        <v>77</v>
      </c>
      <c r="C18" s="24" t="n">
        <v>1</v>
      </c>
      <c r="D18" s="23" t="n">
        <f aca="false">C18*12</f>
        <v>12</v>
      </c>
    </row>
    <row r="20" customFormat="false" ht="15" hidden="false" customHeight="false" outlineLevel="0" collapsed="false">
      <c r="A20" s="7" t="s">
        <v>78</v>
      </c>
      <c r="B20" s="25"/>
      <c r="C20" s="8" t="n">
        <f aca="false">C6+C11+C15+C18</f>
        <v>45.7136171875</v>
      </c>
      <c r="D20" s="8" t="n">
        <f aca="false">D6+D11+D15+D18</f>
        <v>548.56340625</v>
      </c>
    </row>
    <row r="22" customFormat="false" ht="27.75" hidden="false" customHeight="true" outlineLevel="0" collapsed="false">
      <c r="A22" s="26" t="s">
        <v>79</v>
      </c>
      <c r="B22" s="26"/>
      <c r="C22" s="26"/>
      <c r="D22" s="26"/>
    </row>
  </sheetData>
  <mergeCells count="6">
    <mergeCell ref="A1:D1"/>
    <mergeCell ref="A4:D4"/>
    <mergeCell ref="A8:D8"/>
    <mergeCell ref="A13:D13"/>
    <mergeCell ref="A17:D17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2026-08-21T09:11:41Z</dcterms:created>
  <dc:creator>openpyxl</dc:creator>
  <dc:description/>
  <dc:language>en-US</dc:language>
  <cp:lastModifiedBy/>
  <dcterms:modified xsi:type="dcterms:W3CDTF">2026-08-21T09:11:41Z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